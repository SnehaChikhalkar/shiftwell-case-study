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ccounts" sheetId="2" state="visible" r:id="rId4"/>
    <sheet name="Lo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<sst xmlns="http://schemas.openxmlformats.org/spreadsheetml/2006/main" count="119" uniqueCount="103">
  <si>
    <t xml:space="preserve">Shiftwell – Step 1 analysis (all cells are live formulas)</t>
  </si>
  <si>
    <t xml:space="preserve">1. ARR at risk and renewal timing</t>
  </si>
  <si>
    <t xml:space="preserve">Total ARR (₹ lakh)</t>
  </si>
  <si>
    <t xml:space="preserve">ARR of 'At risk' accounts (₹ lakh)</t>
  </si>
  <si>
    <t xml:space="preserve">…as % of total ARR</t>
  </si>
  <si>
    <t xml:space="preserve">ARR renewing by 31 Jan 2027 (₹ lakh)</t>
  </si>
  <si>
    <t xml:space="preserve">Next ~4 months, before this quarter's build can fully land</t>
  </si>
  <si>
    <t xml:space="preserve">ARR renewing by 31 Jan 2027 AND At risk (₹ lakh)</t>
  </si>
  <si>
    <t xml:space="preserve">UrbanMart ARR (₹ lakh) / % of total</t>
  </si>
  <si>
    <t xml:space="preserve">UrbanMart months to renewal (from 16 Oct 2026)</t>
  </si>
  <si>
    <t xml:space="preserve">Assumed 'today' = 16 Oct 2026</t>
  </si>
  <si>
    <t xml:space="preserve">2. Swap approval rate vs health</t>
  </si>
  <si>
    <t xml:space="preserve">Avg 24h approval – At risk accounts</t>
  </si>
  <si>
    <t xml:space="preserve">Avg 24h approval – Healthy accounts</t>
  </si>
  <si>
    <t xml:space="preserve">Avg 24h approval – Watch</t>
  </si>
  <si>
    <t xml:space="preserve">Avg 24h approval – Lost accounts (last 3 mo)</t>
  </si>
  <si>
    <t xml:space="preserve">Accounts with approval &lt;50%</t>
  </si>
  <si>
    <t xml:space="preserve">…of which also 'At risk' or 'Watch' (count)</t>
  </si>
  <si>
    <t xml:space="preserve">Should equal row 18 if the pattern is clean</t>
  </si>
  <si>
    <t xml:space="preserve">ARR in accounts with approval &lt;50% (₹ lakh)</t>
  </si>
  <si>
    <t xml:space="preserve">3. Manager time on scheduling</t>
  </si>
  <si>
    <t xml:space="preserve">Avg mgr hrs/wk – At risk</t>
  </si>
  <si>
    <t xml:space="preserve">Avg mgr hrs/wk – Healthy</t>
  </si>
  <si>
    <t xml:space="preserve">Correlation: approval rate vs mgr hrs/wk</t>
  </si>
  <si>
    <t xml:space="preserve">Strong negative = slow approvals go with heavy manager load. n=8, so directional only</t>
  </si>
  <si>
    <t xml:space="preserve">Correlation: approval rate vs at-risk flag</t>
  </si>
  <si>
    <t xml:space="preserve">Negative = lower approval, more likely at risk. n=8</t>
  </si>
  <si>
    <t xml:space="preserve">4. Swap load</t>
  </si>
  <si>
    <t xml:space="preserve">Swaps / location / month – FreshBowl</t>
  </si>
  <si>
    <t xml:space="preserve">Swaps / location / month – UrbanMart</t>
  </si>
  <si>
    <t xml:space="preserve">Swaps / location / month – CarePoint</t>
  </si>
  <si>
    <t xml:space="preserve">Swaps / location / month – Brew &amp; Co</t>
  </si>
  <si>
    <t xml:space="preserve">Swaps / location / month – all accounts</t>
  </si>
  <si>
    <t xml:space="preserve">FreshBowl swaps per manager per night (approx)</t>
  </si>
  <si>
    <t xml:space="preserve">Interview says 25–30/night; compare. Assumes 1 manager per location, 30 days</t>
  </si>
  <si>
    <t xml:space="preserve">5. Cost of WhatsApp (assumption-driven)</t>
  </si>
  <si>
    <t xml:space="preserve">Cost per WhatsApp message (₹)</t>
  </si>
  <si>
    <t xml:space="preserve">From engineering notes</t>
  </si>
  <si>
    <t xml:space="preserve">Messages per swap (assumed)</t>
  </si>
  <si>
    <t xml:space="preserve">ASSUMPTION: request, notify colleague, approval ask, outcome. Change me</t>
  </si>
  <si>
    <t xml:space="preserve">FreshBowl WhatsApp cost / year (₹ lakh)</t>
  </si>
  <si>
    <t xml:space="preserve">…as % of FreshBowl ARR</t>
  </si>
  <si>
    <t xml:space="preserve">6. Sprint budget (6 available)</t>
  </si>
  <si>
    <t xml:space="preserve">Sprints available</t>
  </si>
  <si>
    <t xml:space="preserve">WhatsApp</t>
  </si>
  <si>
    <t xml:space="preserve">Overtime approval (custom)</t>
  </si>
  <si>
    <t xml:space="preserve">Certificate expiry blocking</t>
  </si>
  <si>
    <t xml:space="preserve">Total if all three built</t>
  </si>
  <si>
    <t xml:space="preserve">Zero buffer; no estimate exists for rules/auto-approve</t>
  </si>
  <si>
    <t xml:space="preserve">Buffer remaining</t>
  </si>
  <si>
    <t xml:space="preserve">Legend: blue = typed inputs/assumptions (yellow = change these), black = formulas.</t>
  </si>
  <si>
    <t xml:space="preserve">Account</t>
  </si>
  <si>
    <t xml:space="preserve">Segment</t>
  </si>
  <si>
    <t xml:space="preserve">Locations</t>
  </si>
  <si>
    <t xml:space="preserve">ARR (₹ lakh)</t>
  </si>
  <si>
    <t xml:space="preserve">Renewal due</t>
  </si>
  <si>
    <t xml:space="preserve">Staff on app</t>
  </si>
  <si>
    <t xml:space="preserve">Swap requests / month</t>
  </si>
  <si>
    <t xml:space="preserve">Swaps approved &lt;24h</t>
  </si>
  <si>
    <t xml:space="preserve">Mgr hrs / week on scheduling</t>
  </si>
  <si>
    <t xml:space="preserve">Health (CS)</t>
  </si>
  <si>
    <t xml:space="preserve">Swaps per location / month</t>
  </si>
  <si>
    <t xml:space="preserve">Swaps per staff / month</t>
  </si>
  <si>
    <t xml:space="preserve">ARR per location (₹ lakh)</t>
  </si>
  <si>
    <t xml:space="preserve">At risk? (1/0)</t>
  </si>
  <si>
    <t xml:space="preserve">Approval &lt;50%? (1/0)</t>
  </si>
  <si>
    <t xml:space="preserve">UrbanMart</t>
  </si>
  <si>
    <t xml:space="preserve">Retail</t>
  </si>
  <si>
    <t xml:space="preserve">Healthy</t>
  </si>
  <si>
    <t xml:space="preserve">FreshBowl</t>
  </si>
  <si>
    <t xml:space="preserve">Restaurants</t>
  </si>
  <si>
    <t xml:space="preserve">At risk</t>
  </si>
  <si>
    <t xml:space="preserve">CarePoint Clinics</t>
  </si>
  <si>
    <t xml:space="preserve">Clinics</t>
  </si>
  <si>
    <t xml:space="preserve">QuickKart</t>
  </si>
  <si>
    <t xml:space="preserve">Spice Route</t>
  </si>
  <si>
    <t xml:space="preserve">Watch</t>
  </si>
  <si>
    <t xml:space="preserve">MedAxis Labs</t>
  </si>
  <si>
    <t xml:space="preserve">Diagnostics</t>
  </si>
  <si>
    <t xml:space="preserve">FitZone</t>
  </si>
  <si>
    <t xml:space="preserve">Gyms</t>
  </si>
  <si>
    <t xml:space="preserve">Brew &amp; Co</t>
  </si>
  <si>
    <t xml:space="preserve">Cafes</t>
  </si>
  <si>
    <t xml:space="preserve">Total</t>
  </si>
  <si>
    <t xml:space="preserve">Legend: blue text = data pasted from the case pack (edit here). Shaded columns K–O = formulas, do not overwrite.</t>
  </si>
  <si>
    <t xml:space="preserve">Check: ARR total should equal 408 lakh (₹4.08 Cr) per the brief.</t>
  </si>
  <si>
    <t xml:space="preserve">Assumption: renewal dates set to the 1st of the stated month (case gives month only).</t>
  </si>
  <si>
    <t xml:space="preserve">ARR lost (₹ lakh)</t>
  </si>
  <si>
    <t xml:space="preserve">Reason recorded by sales</t>
  </si>
  <si>
    <t xml:space="preserve">Swaps approved &lt;24h (last 3 mo)</t>
  </si>
  <si>
    <t xml:space="preserve">StyleHub</t>
  </si>
  <si>
    <t xml:space="preserve">Budget cuts</t>
  </si>
  <si>
    <t xml:space="preserve">TandooriTown</t>
  </si>
  <si>
    <t xml:space="preserve">Price</t>
  </si>
  <si>
    <t xml:space="preserve">GreenLeaf Salads</t>
  </si>
  <si>
    <t xml:space="preserve">Moved to RotaPro (has WhatsApp)</t>
  </si>
  <si>
    <t xml:space="preserve">PawsCare Vets</t>
  </si>
  <si>
    <t xml:space="preserve">Went back to spreadsheets</t>
  </si>
  <si>
    <t xml:space="preserve">Total ARR lost</t>
  </si>
  <si>
    <t xml:space="preserve">Avg approval rate, lost accounts</t>
  </si>
  <si>
    <t xml:space="preserve">Lost accounts with approval &lt;50%</t>
  </si>
  <si>
    <t xml:space="preserve">ARR lost where approval &lt;50%</t>
  </si>
  <si>
    <t xml:space="preserve">…as % of all ARR lost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</si>
</sst>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%"/>
    <numFmt numFmtId="167" formatCode="0.0"/>
    <numFmt numFmtId="168" formatCode="0.00"/>
    <numFmt numFmtId="169" formatCode="0.0%"/>
    <numFmt numFmtId="170" formatCode="mmm\ yyyy"/>
    <numFmt numFmtId="171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7EE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7EE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</row>
    <row r="4" customFormat="false" ht="15" hidden="false" customHeight="false" outlineLevel="0" collapsed="false">
      <c r="A4" s="4" t="s">
        <v>2</v>
      </c>
      <c r="B4" s="5" t="n">
        <f aca="false">Accounts!D10</f>
        <v>408</v>
      </c>
    </row>
    <row r="5" customFormat="false" ht="15" hidden="false" customHeight="false" outlineLevel="0" collapsed="false">
      <c r="A5" s="4" t="s">
        <v>3</v>
      </c>
      <c r="B5" s="5" t="n">
        <f aca="false">SUMIFS(Accounts!D2:D9,Accounts!J2:J9,"At risk")</f>
        <v>184</v>
      </c>
    </row>
    <row r="6" customFormat="false" ht="15" hidden="false" customHeight="false" outlineLevel="0" collapsed="false">
      <c r="A6" s="4" t="s">
        <v>4</v>
      </c>
      <c r="B6" s="6" t="n">
        <f aca="false">B5/B4</f>
        <v>0.450980392156863</v>
      </c>
    </row>
    <row r="7" customFormat="false" ht="15" hidden="false" customHeight="false" outlineLevel="0" collapsed="false">
      <c r="A7" s="4" t="s">
        <v>5</v>
      </c>
      <c r="B7" s="5" t="n">
        <f aca="false">SUMIFS(Accounts!D2:D9,Accounts!E2:E9,"&lt;="&amp;DATE(2027,1,31))</f>
        <v>184</v>
      </c>
      <c r="C7" s="7" t="s">
        <v>6</v>
      </c>
    </row>
    <row r="8" customFormat="false" ht="15" hidden="false" customHeight="false" outlineLevel="0" collapsed="false">
      <c r="A8" s="4" t="s">
        <v>4</v>
      </c>
      <c r="B8" s="6" t="n">
        <f aca="false">B7/B4</f>
        <v>0.450980392156863</v>
      </c>
    </row>
    <row r="9" customFormat="false" ht="15" hidden="false" customHeight="false" outlineLevel="0" collapsed="false">
      <c r="A9" s="4" t="s">
        <v>7</v>
      </c>
      <c r="B9" s="5" t="n">
        <f aca="false">SUMIFS(Accounts!D2:D9,Accounts!E2:E9,"&lt;="&amp;DATE(2027,1,31),Accounts!J2:J9,"At risk")</f>
        <v>184</v>
      </c>
    </row>
    <row r="10" customFormat="false" ht="15" hidden="false" customHeight="false" outlineLevel="0" collapsed="false">
      <c r="A10" s="4" t="s">
        <v>8</v>
      </c>
      <c r="B10" s="5" t="n">
        <f aca="false">Accounts!D2</f>
        <v>110</v>
      </c>
      <c r="C10" s="8" t="n">
        <f aca="false">Accounts!D2/B4</f>
        <v>0.269607843137255</v>
      </c>
    </row>
    <row r="11" customFormat="false" ht="15" hidden="false" customHeight="false" outlineLevel="0" collapsed="false">
      <c r="A11" s="4" t="s">
        <v>9</v>
      </c>
      <c r="B11" s="5" t="n">
        <f aca="false">DATEDIF(DATE(2026,10,16),Accounts!E2,"m")</f>
        <v>9</v>
      </c>
      <c r="C11" s="7" t="s">
        <v>10</v>
      </c>
    </row>
    <row r="13" customFormat="false" ht="15" hidden="false" customHeight="false" outlineLevel="0" collapsed="false">
      <c r="A13" s="2" t="s">
        <v>11</v>
      </c>
      <c r="B13" s="3"/>
      <c r="C13" s="3"/>
    </row>
    <row r="14" customFormat="false" ht="15" hidden="false" customHeight="false" outlineLevel="0" collapsed="false">
      <c r="A14" s="4" t="s">
        <v>12</v>
      </c>
      <c r="B14" s="6" t="n">
        <f aca="false">AVERAGEIFS(Accounts!H2:H9,Accounts!J2:J9,"At risk")</f>
        <v>0.4325</v>
      </c>
    </row>
    <row r="15" customFormat="false" ht="15" hidden="false" customHeight="false" outlineLevel="0" collapsed="false">
      <c r="A15" s="4" t="s">
        <v>13</v>
      </c>
      <c r="B15" s="6" t="n">
        <f aca="false">AVERAGEIFS(Accounts!H2:H9,Accounts!J2:J9,"Healthy")</f>
        <v>0.703333333333334</v>
      </c>
    </row>
    <row r="16" customFormat="false" ht="15" hidden="false" customHeight="false" outlineLevel="0" collapsed="false">
      <c r="A16" s="4" t="s">
        <v>14</v>
      </c>
      <c r="B16" s="6" t="n">
        <f aca="false">AVERAGEIFS(Accounts!H2:H9,Accounts!J2:J9,"Watch")</f>
        <v>0.41</v>
      </c>
    </row>
    <row r="17" customFormat="false" ht="15" hidden="false" customHeight="false" outlineLevel="0" collapsed="false">
      <c r="A17" s="4" t="s">
        <v>15</v>
      </c>
      <c r="B17" s="6" t="n">
        <f aca="false">Lost!F8</f>
        <v>0.365</v>
      </c>
    </row>
    <row r="18" customFormat="false" ht="15" hidden="false" customHeight="false" outlineLevel="0" collapsed="false">
      <c r="A18" s="4" t="s">
        <v>16</v>
      </c>
      <c r="B18" s="5" t="n">
        <f aca="false">SUM(Accounts!O2:O9)</f>
        <v>4</v>
      </c>
    </row>
    <row r="19" customFormat="false" ht="15" hidden="false" customHeight="false" outlineLevel="0" collapsed="false">
      <c r="A19" s="4" t="s">
        <v>17</v>
      </c>
      <c r="B19" s="5" t="n">
        <f aca="false">COUNTIFS(Accounts!O2:O9,1,Accounts!J2:J9,"&lt;&gt;Healthy")</f>
        <v>4</v>
      </c>
      <c r="C19" s="7" t="s">
        <v>18</v>
      </c>
    </row>
    <row r="20" customFormat="false" ht="15" hidden="false" customHeight="false" outlineLevel="0" collapsed="false">
      <c r="A20" s="4" t="s">
        <v>19</v>
      </c>
      <c r="B20" s="5" t="n">
        <f aca="false">SUMIFS(Accounts!D2:D9,Accounts!O2:O9,1)</f>
        <v>160</v>
      </c>
    </row>
    <row r="21" customFormat="false" ht="15" hidden="false" customHeight="false" outlineLevel="0" collapsed="false">
      <c r="A21" s="4" t="s">
        <v>4</v>
      </c>
      <c r="B21" s="6" t="n">
        <f aca="false">B20/B4</f>
        <v>0.392156862745098</v>
      </c>
    </row>
    <row r="23" customFormat="false" ht="15" hidden="false" customHeight="false" outlineLevel="0" collapsed="false">
      <c r="A23" s="2" t="s">
        <v>20</v>
      </c>
      <c r="B23" s="3"/>
      <c r="C23" s="3"/>
    </row>
    <row r="24" customFormat="false" ht="15" hidden="false" customHeight="false" outlineLevel="0" collapsed="false">
      <c r="A24" s="4" t="s">
        <v>21</v>
      </c>
      <c r="B24" s="9" t="n">
        <f aca="false">AVERAGEIFS(Accounts!I2:I9,Accounts!J2:J9,"At risk")</f>
        <v>5.75</v>
      </c>
    </row>
    <row r="25" customFormat="false" ht="15" hidden="false" customHeight="false" outlineLevel="0" collapsed="false">
      <c r="A25" s="4" t="s">
        <v>22</v>
      </c>
      <c r="B25" s="9" t="n">
        <f aca="false">AVERAGEIFS(Accounts!I2:I9,Accounts!J2:J9,"Healthy")</f>
        <v>3</v>
      </c>
    </row>
    <row r="26" customFormat="false" ht="15" hidden="false" customHeight="false" outlineLevel="0" collapsed="false">
      <c r="A26" s="4" t="s">
        <v>23</v>
      </c>
      <c r="B26" s="10" t="n">
        <f aca="false">CORREL(Accounts!H2:H9,Accounts!I2:I9)</f>
        <v>-0.951254971383125</v>
      </c>
      <c r="C26" s="7" t="s">
        <v>24</v>
      </c>
    </row>
    <row r="27" customFormat="false" ht="15" hidden="false" customHeight="false" outlineLevel="0" collapsed="false">
      <c r="A27" s="4" t="s">
        <v>25</v>
      </c>
      <c r="B27" s="10" t="n">
        <f aca="false">CORREL(Accounts!H2:H9,Accounts!N2:N9)</f>
        <v>-0.543716720108588</v>
      </c>
      <c r="C27" s="7" t="s">
        <v>26</v>
      </c>
    </row>
    <row r="29" customFormat="false" ht="15" hidden="false" customHeight="false" outlineLevel="0" collapsed="false">
      <c r="A29" s="2" t="s">
        <v>27</v>
      </c>
      <c r="B29" s="3"/>
      <c r="C29" s="3"/>
    </row>
    <row r="30" customFormat="false" ht="15" hidden="false" customHeight="false" outlineLevel="0" collapsed="false">
      <c r="A30" s="4" t="s">
        <v>28</v>
      </c>
      <c r="B30" s="9" t="n">
        <f aca="false">Accounts!K3</f>
        <v>24.1666666666667</v>
      </c>
    </row>
    <row r="31" customFormat="false" ht="15" hidden="false" customHeight="false" outlineLevel="0" collapsed="false">
      <c r="A31" s="4" t="s">
        <v>29</v>
      </c>
      <c r="B31" s="9" t="n">
        <f aca="false">Accounts!K2</f>
        <v>15.5</v>
      </c>
    </row>
    <row r="32" customFormat="false" ht="15" hidden="false" customHeight="false" outlineLevel="0" collapsed="false">
      <c r="A32" s="4" t="s">
        <v>30</v>
      </c>
      <c r="B32" s="9" t="n">
        <f aca="false">Accounts!K4</f>
        <v>7.75</v>
      </c>
    </row>
    <row r="33" customFormat="false" ht="15" hidden="false" customHeight="false" outlineLevel="0" collapsed="false">
      <c r="A33" s="4" t="s">
        <v>31</v>
      </c>
      <c r="B33" s="9" t="n">
        <f aca="false">Accounts!K9</f>
        <v>23.4285714285714</v>
      </c>
    </row>
    <row r="34" customFormat="false" ht="15" hidden="false" customHeight="false" outlineLevel="0" collapsed="false">
      <c r="A34" s="4" t="s">
        <v>32</v>
      </c>
      <c r="B34" s="9" t="n">
        <f aca="false">Accounts!G10/Accounts!C10</f>
        <v>16.3870967741935</v>
      </c>
    </row>
    <row r="35" customFormat="false" ht="15" hidden="false" customHeight="false" outlineLevel="0" collapsed="false">
      <c r="A35" s="4" t="s">
        <v>33</v>
      </c>
      <c r="B35" s="9" t="n">
        <f aca="false">Accounts!G3/Accounts!C3/30</f>
        <v>0.805555555555556</v>
      </c>
      <c r="C35" s="7" t="s">
        <v>34</v>
      </c>
    </row>
    <row r="37" customFormat="false" ht="15" hidden="false" customHeight="false" outlineLevel="0" collapsed="false">
      <c r="A37" s="2" t="s">
        <v>35</v>
      </c>
      <c r="B37" s="3"/>
      <c r="C37" s="3"/>
    </row>
    <row r="38" customFormat="false" ht="15" hidden="false" customHeight="false" outlineLevel="0" collapsed="false">
      <c r="A38" s="4" t="s">
        <v>36</v>
      </c>
      <c r="B38" s="11" t="n">
        <v>0.35</v>
      </c>
      <c r="C38" s="7" t="s">
        <v>37</v>
      </c>
    </row>
    <row r="39" customFormat="false" ht="15" hidden="false" customHeight="false" outlineLevel="0" collapsed="false">
      <c r="A39" s="4" t="s">
        <v>38</v>
      </c>
      <c r="B39" s="12" t="n">
        <v>4</v>
      </c>
      <c r="C39" s="7" t="s">
        <v>39</v>
      </c>
    </row>
    <row r="40" customFormat="false" ht="15" hidden="false" customHeight="false" outlineLevel="0" collapsed="false">
      <c r="A40" s="4" t="s">
        <v>40</v>
      </c>
      <c r="B40" s="10" t="n">
        <f aca="false">Accounts!G3*B39*B38*12/100000</f>
        <v>0.4872</v>
      </c>
    </row>
    <row r="41" customFormat="false" ht="15" hidden="false" customHeight="false" outlineLevel="0" collapsed="false">
      <c r="A41" s="4" t="s">
        <v>41</v>
      </c>
      <c r="B41" s="13" t="n">
        <f aca="false">B40/(Accounts!D3)</f>
        <v>0.0058</v>
      </c>
    </row>
    <row r="43" customFormat="false" ht="15" hidden="false" customHeight="false" outlineLevel="0" collapsed="false">
      <c r="A43" s="2" t="s">
        <v>42</v>
      </c>
      <c r="B43" s="3"/>
      <c r="C43" s="3"/>
    </row>
    <row r="44" customFormat="false" ht="15" hidden="false" customHeight="false" outlineLevel="0" collapsed="false">
      <c r="A44" s="4" t="s">
        <v>43</v>
      </c>
      <c r="B44" s="14" t="n">
        <v>6</v>
      </c>
    </row>
    <row r="45" customFormat="false" ht="15" hidden="false" customHeight="false" outlineLevel="0" collapsed="false">
      <c r="A45" s="4" t="s">
        <v>44</v>
      </c>
      <c r="B45" s="14" t="n">
        <v>3</v>
      </c>
    </row>
    <row r="46" customFormat="false" ht="15" hidden="false" customHeight="false" outlineLevel="0" collapsed="false">
      <c r="A46" s="4" t="s">
        <v>45</v>
      </c>
      <c r="B46" s="14" t="n">
        <v>2</v>
      </c>
    </row>
    <row r="47" customFormat="false" ht="15" hidden="false" customHeight="false" outlineLevel="0" collapsed="false">
      <c r="A47" s="4" t="s">
        <v>46</v>
      </c>
      <c r="B47" s="14" t="n">
        <v>1</v>
      </c>
    </row>
    <row r="48" customFormat="false" ht="15" hidden="false" customHeight="false" outlineLevel="0" collapsed="false">
      <c r="A48" s="4" t="s">
        <v>47</v>
      </c>
      <c r="B48" s="5" t="n">
        <f aca="false">SUM(B45:B47)</f>
        <v>6</v>
      </c>
      <c r="C48" s="7" t="s">
        <v>48</v>
      </c>
    </row>
    <row r="49" customFormat="false" ht="15" hidden="false" customHeight="false" outlineLevel="0" collapsed="false">
      <c r="A49" s="4" t="s">
        <v>49</v>
      </c>
      <c r="B49" s="5" t="n">
        <f aca="false">B44-B48</f>
        <v>0</v>
      </c>
    </row>
    <row r="51" customFormat="false" ht="15" hidden="false" customHeight="false" outlineLevel="0" collapsed="false">
      <c r="A51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3" min="11" style="0" width="13"/>
    <col collapsed="false" customWidth="true" hidden="false" outlineLevel="0" max="14" min="14" style="0" width="10"/>
    <col collapsed="false" customWidth="true" hidden="false" outlineLevel="0" max="15" min="15" style="0" width="12"/>
  </cols>
  <sheetData>
    <row r="1" customFormat="false" ht="48" hidden="false" customHeight="true" outlineLevel="0" collapsed="false">
      <c r="A1" s="15" t="s">
        <v>51</v>
      </c>
      <c r="B1" s="15" t="s">
        <v>52</v>
      </c>
      <c r="C1" s="15" t="s">
        <v>53</v>
      </c>
      <c r="D1" s="15" t="s">
        <v>54</v>
      </c>
      <c r="E1" s="15" t="s">
        <v>55</v>
      </c>
      <c r="F1" s="15" t="s">
        <v>56</v>
      </c>
      <c r="G1" s="15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</row>
    <row r="2" customFormat="false" ht="15" hidden="false" customHeight="false" outlineLevel="0" collapsed="false">
      <c r="A2" s="16" t="s">
        <v>66</v>
      </c>
      <c r="B2" s="16" t="s">
        <v>67</v>
      </c>
      <c r="C2" s="16" t="n">
        <v>200</v>
      </c>
      <c r="D2" s="16" t="n">
        <v>110</v>
      </c>
      <c r="E2" s="17" t="n">
        <v>46600</v>
      </c>
      <c r="F2" s="16" t="n">
        <v>5200</v>
      </c>
      <c r="G2" s="16" t="n">
        <v>3100</v>
      </c>
      <c r="H2" s="18" t="n">
        <v>0.64</v>
      </c>
      <c r="I2" s="16" t="n">
        <v>3.5</v>
      </c>
      <c r="J2" s="16" t="s">
        <v>68</v>
      </c>
      <c r="K2" s="19" t="n">
        <f aca="false">G2/C2</f>
        <v>15.5</v>
      </c>
      <c r="L2" s="20" t="n">
        <f aca="false">G2/F2</f>
        <v>0.596153846153846</v>
      </c>
      <c r="M2" s="20" t="n">
        <f aca="false">D2/C2</f>
        <v>0.55</v>
      </c>
      <c r="N2" s="21" t="n">
        <f aca="false">IF(J2="At risk",1,0)</f>
        <v>0</v>
      </c>
      <c r="O2" s="21" t="n">
        <f aca="false">IF(H2&lt;0.5,1,0)</f>
        <v>0</v>
      </c>
    </row>
    <row r="3" customFormat="false" ht="15" hidden="false" customHeight="false" outlineLevel="0" collapsed="false">
      <c r="A3" s="16" t="s">
        <v>69</v>
      </c>
      <c r="B3" s="16" t="s">
        <v>70</v>
      </c>
      <c r="C3" s="16" t="n">
        <v>120</v>
      </c>
      <c r="D3" s="16" t="n">
        <v>84</v>
      </c>
      <c r="E3" s="17" t="n">
        <v>46388</v>
      </c>
      <c r="F3" s="16" t="n">
        <v>3600</v>
      </c>
      <c r="G3" s="16" t="n">
        <v>2900</v>
      </c>
      <c r="H3" s="18" t="n">
        <v>0.38</v>
      </c>
      <c r="I3" s="16" t="n">
        <v>6.5</v>
      </c>
      <c r="J3" s="16" t="s">
        <v>71</v>
      </c>
      <c r="K3" s="19" t="n">
        <f aca="false">G3/C3</f>
        <v>24.1666666666667</v>
      </c>
      <c r="L3" s="20" t="n">
        <f aca="false">G3/F3</f>
        <v>0.805555555555556</v>
      </c>
      <c r="M3" s="20" t="n">
        <f aca="false">D3/C3</f>
        <v>0.7</v>
      </c>
      <c r="N3" s="21" t="n">
        <f aca="false">IF(J3="At risk",1,0)</f>
        <v>1</v>
      </c>
      <c r="O3" s="21" t="n">
        <f aca="false">IF(H3&lt;0.5,1,0)</f>
        <v>1</v>
      </c>
    </row>
    <row r="4" customFormat="false" ht="15" hidden="false" customHeight="false" outlineLevel="0" collapsed="false">
      <c r="A4" s="16" t="s">
        <v>72</v>
      </c>
      <c r="B4" s="16" t="s">
        <v>73</v>
      </c>
      <c r="C4" s="16" t="n">
        <v>40</v>
      </c>
      <c r="D4" s="16" t="n">
        <v>60</v>
      </c>
      <c r="E4" s="17" t="n">
        <v>46357</v>
      </c>
      <c r="F4" s="16" t="n">
        <v>900</v>
      </c>
      <c r="G4" s="16" t="n">
        <v>310</v>
      </c>
      <c r="H4" s="18" t="n">
        <v>0.71</v>
      </c>
      <c r="I4" s="16" t="n">
        <v>4</v>
      </c>
      <c r="J4" s="16" t="s">
        <v>71</v>
      </c>
      <c r="K4" s="19" t="n">
        <f aca="false">G4/C4</f>
        <v>7.75</v>
      </c>
      <c r="L4" s="20" t="n">
        <f aca="false">G4/F4</f>
        <v>0.344444444444444</v>
      </c>
      <c r="M4" s="20" t="n">
        <f aca="false">D4/C4</f>
        <v>1.5</v>
      </c>
      <c r="N4" s="21" t="n">
        <f aca="false">IF(J4="At risk",1,0)</f>
        <v>1</v>
      </c>
      <c r="O4" s="21" t="n">
        <f aca="false">IF(H4&lt;0.5,1,0)</f>
        <v>0</v>
      </c>
    </row>
    <row r="5" customFormat="false" ht="15" hidden="false" customHeight="false" outlineLevel="0" collapsed="false">
      <c r="A5" s="16" t="s">
        <v>74</v>
      </c>
      <c r="B5" s="16" t="s">
        <v>67</v>
      </c>
      <c r="C5" s="16" t="n">
        <v>90</v>
      </c>
      <c r="D5" s="16" t="n">
        <v>48</v>
      </c>
      <c r="E5" s="17" t="n">
        <v>46539</v>
      </c>
      <c r="F5" s="16" t="n">
        <v>2100</v>
      </c>
      <c r="G5" s="16" t="n">
        <v>1000</v>
      </c>
      <c r="H5" s="18" t="n">
        <v>0.67</v>
      </c>
      <c r="I5" s="16" t="n">
        <v>3</v>
      </c>
      <c r="J5" s="16" t="s">
        <v>68</v>
      </c>
      <c r="K5" s="19" t="n">
        <f aca="false">G5/C5</f>
        <v>11.1111111111111</v>
      </c>
      <c r="L5" s="20" t="n">
        <f aca="false">G5/F5</f>
        <v>0.476190476190476</v>
      </c>
      <c r="M5" s="20" t="n">
        <f aca="false">D5/C5</f>
        <v>0.533333333333333</v>
      </c>
      <c r="N5" s="21" t="n">
        <f aca="false">IF(J5="At risk",1,0)</f>
        <v>0</v>
      </c>
      <c r="O5" s="21" t="n">
        <f aca="false">IF(H5&lt;0.5,1,0)</f>
        <v>0</v>
      </c>
    </row>
    <row r="6" customFormat="false" ht="15" hidden="false" customHeight="false" outlineLevel="0" collapsed="false">
      <c r="A6" s="16" t="s">
        <v>75</v>
      </c>
      <c r="B6" s="16" t="s">
        <v>70</v>
      </c>
      <c r="C6" s="16" t="n">
        <v>60</v>
      </c>
      <c r="D6" s="16" t="n">
        <v>36</v>
      </c>
      <c r="E6" s="17" t="n">
        <v>46447</v>
      </c>
      <c r="F6" s="16" t="n">
        <v>1500</v>
      </c>
      <c r="G6" s="16" t="n">
        <v>1400</v>
      </c>
      <c r="H6" s="18" t="n">
        <v>0.41</v>
      </c>
      <c r="I6" s="16" t="n">
        <v>6</v>
      </c>
      <c r="J6" s="16" t="s">
        <v>76</v>
      </c>
      <c r="K6" s="19" t="n">
        <f aca="false">G6/C6</f>
        <v>23.3333333333333</v>
      </c>
      <c r="L6" s="20" t="n">
        <f aca="false">G6/F6</f>
        <v>0.933333333333333</v>
      </c>
      <c r="M6" s="20" t="n">
        <f aca="false">D6/C6</f>
        <v>0.6</v>
      </c>
      <c r="N6" s="21" t="n">
        <f aca="false">IF(J6="At risk",1,0)</f>
        <v>0</v>
      </c>
      <c r="O6" s="21" t="n">
        <f aca="false">IF(H6&lt;0.5,1,0)</f>
        <v>1</v>
      </c>
    </row>
    <row r="7" customFormat="false" ht="15" hidden="false" customHeight="false" outlineLevel="0" collapsed="false">
      <c r="A7" s="16" t="s">
        <v>77</v>
      </c>
      <c r="B7" s="16" t="s">
        <v>78</v>
      </c>
      <c r="C7" s="16" t="n">
        <v>25</v>
      </c>
      <c r="D7" s="16" t="n">
        <v>30</v>
      </c>
      <c r="E7" s="17" t="n">
        <v>46419</v>
      </c>
      <c r="F7" s="16" t="n">
        <v>450</v>
      </c>
      <c r="G7" s="16" t="n">
        <v>90</v>
      </c>
      <c r="H7" s="18" t="n">
        <v>0.8</v>
      </c>
      <c r="I7" s="16" t="n">
        <v>2.5</v>
      </c>
      <c r="J7" s="16" t="s">
        <v>68</v>
      </c>
      <c r="K7" s="19" t="n">
        <f aca="false">G7/C7</f>
        <v>3.6</v>
      </c>
      <c r="L7" s="20" t="n">
        <f aca="false">G7/F7</f>
        <v>0.2</v>
      </c>
      <c r="M7" s="20" t="n">
        <f aca="false">D7/C7</f>
        <v>1.2</v>
      </c>
      <c r="N7" s="21" t="n">
        <f aca="false">IF(J7="At risk",1,0)</f>
        <v>0</v>
      </c>
      <c r="O7" s="21" t="n">
        <f aca="false">IF(H7&lt;0.5,1,0)</f>
        <v>0</v>
      </c>
    </row>
    <row r="8" customFormat="false" ht="15" hidden="false" customHeight="false" outlineLevel="0" collapsed="false">
      <c r="A8" s="16" t="s">
        <v>79</v>
      </c>
      <c r="B8" s="16" t="s">
        <v>80</v>
      </c>
      <c r="C8" s="16" t="n">
        <v>50</v>
      </c>
      <c r="D8" s="16" t="n">
        <v>22</v>
      </c>
      <c r="E8" s="17" t="n">
        <v>46296</v>
      </c>
      <c r="F8" s="16" t="n">
        <v>600</v>
      </c>
      <c r="G8" s="16" t="n">
        <v>540</v>
      </c>
      <c r="H8" s="18" t="n">
        <v>0.35</v>
      </c>
      <c r="I8" s="16" t="n">
        <v>5.5</v>
      </c>
      <c r="J8" s="16" t="s">
        <v>71</v>
      </c>
      <c r="K8" s="19" t="n">
        <f aca="false">G8/C8</f>
        <v>10.8</v>
      </c>
      <c r="L8" s="20" t="n">
        <f aca="false">G8/F8</f>
        <v>0.9</v>
      </c>
      <c r="M8" s="20" t="n">
        <f aca="false">D8/C8</f>
        <v>0.44</v>
      </c>
      <c r="N8" s="21" t="n">
        <f aca="false">IF(J8="At risk",1,0)</f>
        <v>1</v>
      </c>
      <c r="O8" s="21" t="n">
        <f aca="false">IF(H8&lt;0.5,1,0)</f>
        <v>1</v>
      </c>
    </row>
    <row r="9" customFormat="false" ht="15" hidden="false" customHeight="false" outlineLevel="0" collapsed="false">
      <c r="A9" s="16" t="s">
        <v>81</v>
      </c>
      <c r="B9" s="16" t="s">
        <v>82</v>
      </c>
      <c r="C9" s="16" t="n">
        <v>35</v>
      </c>
      <c r="D9" s="16" t="n">
        <v>18</v>
      </c>
      <c r="E9" s="17" t="n">
        <v>46327</v>
      </c>
      <c r="F9" s="16" t="n">
        <v>700</v>
      </c>
      <c r="G9" s="16" t="n">
        <v>820</v>
      </c>
      <c r="H9" s="18" t="n">
        <v>0.29</v>
      </c>
      <c r="I9" s="16" t="n">
        <v>7</v>
      </c>
      <c r="J9" s="16" t="s">
        <v>71</v>
      </c>
      <c r="K9" s="19" t="n">
        <f aca="false">G9/C9</f>
        <v>23.4285714285714</v>
      </c>
      <c r="L9" s="20" t="n">
        <f aca="false">G9/F9</f>
        <v>1.17142857142857</v>
      </c>
      <c r="M9" s="20" t="n">
        <f aca="false">D9/C9</f>
        <v>0.514285714285714</v>
      </c>
      <c r="N9" s="21" t="n">
        <f aca="false">IF(J9="At risk",1,0)</f>
        <v>1</v>
      </c>
      <c r="O9" s="21" t="n">
        <f aca="false">IF(H9&lt;0.5,1,0)</f>
        <v>1</v>
      </c>
    </row>
    <row r="10" customFormat="false" ht="15" hidden="false" customHeight="false" outlineLevel="0" collapsed="false">
      <c r="A10" s="22" t="s">
        <v>83</v>
      </c>
      <c r="C10" s="22" t="n">
        <f aca="false">SUM(C2:C9)</f>
        <v>620</v>
      </c>
      <c r="D10" s="22" t="n">
        <f aca="false">SUM(D2:D9)</f>
        <v>408</v>
      </c>
      <c r="F10" s="22" t="n">
        <f aca="false">SUM(F2:F9)</f>
        <v>15050</v>
      </c>
      <c r="G10" s="22" t="n">
        <f aca="false">SUM(G2:G9)</f>
        <v>10160</v>
      </c>
    </row>
    <row r="12" customFormat="false" ht="15" hidden="false" customHeight="false" outlineLevel="0" collapsed="false">
      <c r="A12" s="7" t="s">
        <v>84</v>
      </c>
    </row>
    <row r="13" customFormat="false" ht="15" hidden="false" customHeight="false" outlineLevel="0" collapsed="false">
      <c r="A13" s="7" t="s">
        <v>85</v>
      </c>
      <c r="E13" s="22" t="str">
        <f aca="false">IF(D10=408,"OK","MISMATCH")</f>
        <v>OK</v>
      </c>
    </row>
    <row r="14" customFormat="false" ht="15" hidden="false" customHeight="false" outlineLevel="0" collapsed="false">
      <c r="A14" s="7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18"/>
  </cols>
  <sheetData>
    <row r="1" customFormat="false" ht="39.75" hidden="false" customHeight="true" outlineLevel="0" collapsed="false">
      <c r="A1" s="15" t="s">
        <v>51</v>
      </c>
      <c r="B1" s="15" t="s">
        <v>52</v>
      </c>
      <c r="C1" s="15" t="s">
        <v>53</v>
      </c>
      <c r="D1" s="15" t="s">
        <v>87</v>
      </c>
      <c r="E1" s="15" t="s">
        <v>88</v>
      </c>
      <c r="F1" s="15" t="s">
        <v>89</v>
      </c>
    </row>
    <row r="2" customFormat="false" ht="15" hidden="false" customHeight="false" outlineLevel="0" collapsed="false">
      <c r="A2" s="16" t="s">
        <v>90</v>
      </c>
      <c r="B2" s="16" t="s">
        <v>67</v>
      </c>
      <c r="C2" s="16" t="n">
        <v>70</v>
      </c>
      <c r="D2" s="16" t="n">
        <v>30</v>
      </c>
      <c r="E2" s="16" t="s">
        <v>91</v>
      </c>
      <c r="F2" s="18" t="n">
        <v>0.6</v>
      </c>
    </row>
    <row r="3" customFormat="false" ht="15" hidden="false" customHeight="false" outlineLevel="0" collapsed="false">
      <c r="A3" s="16" t="s">
        <v>92</v>
      </c>
      <c r="B3" s="16" t="s">
        <v>70</v>
      </c>
      <c r="C3" s="16" t="n">
        <v>45</v>
      </c>
      <c r="D3" s="16" t="n">
        <v>25</v>
      </c>
      <c r="E3" s="16" t="s">
        <v>93</v>
      </c>
      <c r="F3" s="18" t="n">
        <v>0.22</v>
      </c>
    </row>
    <row r="4" customFormat="false" ht="15" hidden="false" customHeight="false" outlineLevel="0" collapsed="false">
      <c r="A4" s="16" t="s">
        <v>94</v>
      </c>
      <c r="B4" s="16" t="s">
        <v>70</v>
      </c>
      <c r="C4" s="16" t="n">
        <v>30</v>
      </c>
      <c r="D4" s="16" t="n">
        <v>16</v>
      </c>
      <c r="E4" s="16" t="s">
        <v>95</v>
      </c>
      <c r="F4" s="18" t="n">
        <v>0.31</v>
      </c>
    </row>
    <row r="5" customFormat="false" ht="15" hidden="false" customHeight="false" outlineLevel="0" collapsed="false">
      <c r="A5" s="16" t="s">
        <v>96</v>
      </c>
      <c r="B5" s="16" t="s">
        <v>73</v>
      </c>
      <c r="C5" s="16" t="n">
        <v>15</v>
      </c>
      <c r="D5" s="16" t="n">
        <v>9</v>
      </c>
      <c r="E5" s="16" t="s">
        <v>97</v>
      </c>
      <c r="F5" s="18" t="n">
        <v>0.33</v>
      </c>
    </row>
    <row r="7" customFormat="false" ht="15" hidden="false" customHeight="false" outlineLevel="0" collapsed="false">
      <c r="A7" s="22" t="s">
        <v>98</v>
      </c>
      <c r="D7" s="22" t="n">
        <f aca="false">SUM(D2:D5)</f>
        <v>80</v>
      </c>
    </row>
    <row r="8" customFormat="false" ht="15" hidden="false" customHeight="false" outlineLevel="0" collapsed="false">
      <c r="A8" s="22" t="s">
        <v>99</v>
      </c>
      <c r="F8" s="6" t="n">
        <f aca="false">AVERAGE(F2:F5)</f>
        <v>0.365</v>
      </c>
    </row>
    <row r="9" customFormat="false" ht="15" hidden="false" customHeight="false" outlineLevel="0" collapsed="false">
      <c r="A9" s="22" t="s">
        <v>100</v>
      </c>
      <c r="F9" s="22" t="str">
        <f aca="false">COUNTIF(F2:F5,"&lt;0.5")&amp;" of "&amp;COUNT(F2:F5)</f>
        <v>3 of 4</v>
      </c>
    </row>
    <row r="10" customFormat="false" ht="15" hidden="false" customHeight="false" outlineLevel="0" collapsed="false">
      <c r="A10" s="22" t="s">
        <v>101</v>
      </c>
      <c r="D10" s="22" t="n">
        <f aca="false">SUMIF(F2:F5,"&lt;0.5",D2:D5)</f>
        <v>50</v>
      </c>
    </row>
    <row r="11" customFormat="false" ht="15" hidden="false" customHeight="false" outlineLevel="0" collapsed="false">
      <c r="A11" s="22" t="s">
        <v>102</v>
      </c>
      <c r="D11" s="6" t="n">
        <f aca="false">D10/D7</f>
        <v>0.625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2026-10-15T19:00:49Z</dcterms:created>
  <dc:creator>openpyxl</dc:creator>
  <dc:description/>
  <dc:language>en-US</dc:language>
  <cp:lastModifiedBy/>
  <dcterms:modified xsi:type="dcterms:W3CDTF">2026-10-15T19:00:49Z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